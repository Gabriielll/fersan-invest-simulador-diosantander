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Apoio" sheetId="2" state="visible" r:id="rId4"/>
  </sheets>
  <definedNames>
    <definedName function="false" hidden="false" name="anos" vbProcedure="false">Simulador!$C$13</definedName>
    <definedName function="false" hidden="false" name="aporte" vbProcedure="false">Simulador!$C$12</definedName>
    <definedName function="false" hidden="false" name="dividendos" vbProcedure="false">Simulador!$C$16</definedName>
    <definedName function="false" hidden="false" name="lista_perfis" vbProcedure="false">Apoio!$F$4:$F$6</definedName>
    <definedName function="false" hidden="false" name="patrimonio" vbProcedure="false">Simulador!$C$15</definedName>
    <definedName function="false" hidden="false" name="perc_sugestao" vbProcedure="false">Simulador!$D$9</definedName>
    <definedName function="false" hidden="false" name="perfil" vbProcedure="false">Simulador!$C$25</definedName>
    <definedName function="false" hidden="false" name="rendimento_carteira" vbProcedure="false">Simulador!$C$8</definedName>
    <definedName function="false" hidden="false" name="salario" vbProcedure="false">Simulador!$C$7</definedName>
    <definedName function="false" hidden="false" name="sugestao_aporte" vbProcedure="false">Simulador!$C$9</definedName>
    <definedName function="false" hidden="false" name="tab_perfil" vbProcedure="false">Apoio!$A$4:$B$21</definedName>
    <definedName function="false" hidden="false" name="taxa_mensal" vbProcedure="false">Simulador!$C$14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<sst xmlns="http://schemas.openxmlformats.org/spreadsheetml/2006/main" count="86" uniqueCount="48">
  <si>
    <t xml:space="preserve">FERSAN INVEST</t>
  </si>
  <si>
    <t xml:space="preserve">Simulador de investimento em Fundos Imobiliários (FIIs)</t>
  </si>
  <si>
    <t xml:space="preserve">CONFIGURAÇÕES</t>
  </si>
  <si>
    <t xml:space="preserve">COMO USAR</t>
  </si>
  <si>
    <t xml:space="preserve">Salário</t>
  </si>
  <si>
    <t xml:space="preserve">Texto azul = células que você pode editar.</t>
  </si>
  <si>
    <t xml:space="preserve">Rendimento da carteira (dividendos ao mês)</t>
  </si>
  <si>
    <t xml:space="preserve">Células cinza = calculadas, não edite.</t>
  </si>
  <si>
    <t xml:space="preserve">Sugestão de investimento (% do salário)</t>
  </si>
  <si>
    <t xml:space="preserve">Preencha aporte, anos e taxa mensal (C12:C14).</t>
  </si>
  <si>
    <t xml:space="preserve">Patrimônio: função VF (FV) com intervalos nomeados.</t>
  </si>
  <si>
    <t xml:space="preserve">INVESTIMENTO MENSAL</t>
  </si>
  <si>
    <t xml:space="preserve">Dividendos = patrimônio × rendimento da carteira.</t>
  </si>
  <si>
    <t xml:space="preserve">Quanto investir por mês ?</t>
  </si>
  <si>
    <t xml:space="preserve">Troque o perfil em C25 e veja a divisão e o gráfico mudarem.</t>
  </si>
  <si>
    <t xml:space="preserve">Por quantos anos ?</t>
  </si>
  <si>
    <t xml:space="preserve">Percentuais por perfil: aba Apoio (exemplo, não é recomendação).</t>
  </si>
  <si>
    <t xml:space="preserve">Taxa de rendimento mensal ?</t>
  </si>
  <si>
    <t xml:space="preserve">Salário e valores são de exemplo.</t>
  </si>
  <si>
    <t xml:space="preserve">Patrimônio acumulado ?</t>
  </si>
  <si>
    <t xml:space="preserve">Dividendos mensais ?</t>
  </si>
  <si>
    <t xml:space="preserve">Cenários</t>
  </si>
  <si>
    <t xml:space="preserve">Patrimônio</t>
  </si>
  <si>
    <t xml:space="preserve">Dividendo</t>
  </si>
  <si>
    <t xml:space="preserve">PERFIL DO INVESTIDOR</t>
  </si>
  <si>
    <t xml:space="preserve">Moderado</t>
  </si>
  <si>
    <t xml:space="preserve">VALOR A SER INVESTIDO POR MÊS</t>
  </si>
  <si>
    <t xml:space="preserve">TIPO DE FII</t>
  </si>
  <si>
    <t xml:space="preserve">Percentual sugerido</t>
  </si>
  <si>
    <t xml:space="preserve">Valor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</si>
  <si>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</si>
  <si>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</si>
  <si>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</si>
  <si>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</si>
  <si>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</si>
  <si>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HOTELARIAS</t>
  </si>
  <si>
    <t xml:space="preserve">TOTAL</t>
  </si>
  <si>
    <t xml:space="preserve">Tabela de apoio – percentual de cada tipo de FII por perfil</t>
  </si>
  <si>
    <t xml:space="preserve">Percentuais de EXEMPLO (não são recomendação de investimento); cada perfil soma 100%. Entradas em azul.</t>
  </si>
  <si>
    <t xml:space="preserve">Chave (Perfil|Tipo)</t>
  </si>
  <si>
    <t xml:space="preserve">Percentual</t>
  </si>
  <si>
    <t xml:space="preserve">Perfil</t>
  </si>
  <si>
    <t xml:space="preserve">Tipo de FII</t>
  </si>
  <si>
    <t xml:space="preserve">Soma</t>
  </si>
  <si>
    <t xml:space="preserve">Confere?</t>
  </si>
  <si>
    <t xml:space="preserve">Conservador</t>
  </si>
  <si>
    <t xml:space="preserve">Arrojado</t>
  </si>
  <si>
    <t xml:space="preserve">A lista de perfis alimenta a validação de dados do Simulador.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</si>
</sst>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0%"/>
    <numFmt numFmtId="167" formatCode="0%"/>
    <numFmt numFmtId="168" formatCode="0"/>
    <numFmt numFmtId="169" formatCode="&quot;Quanto em &quot;0&quot; anos ?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5E3B"/>
        <bgColor rgb="FF595959"/>
      </patternFill>
    </fill>
    <fill>
      <patternFill patternType="solid">
        <fgColor rgb="FFFFC000"/>
        <bgColor rgb="FFF79646"/>
      </patternFill>
    </fill>
    <fill>
      <patternFill patternType="solid">
        <fgColor rgb="FFD9D9D9"/>
        <bgColor rgb="FFC0C0C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4BACC6"/>
      <rgbColor rgb="FF9BBB59"/>
      <rgbColor rgb="FFFFC0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1F5E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Divisão do aporte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Simulador!D28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Simulador!$B$29:$B$34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Simulador!$D$29:$D$34</c:f>
              <c:numCache>
                <c:formatCode>"R$ "#,##0.00</c:formatCode>
                <c:ptCount val="6"/>
                <c:pt idx="0">
                  <c:v>256</c:v>
                </c:pt>
                <c:pt idx="1">
                  <c:v>280</c:v>
                </c:pt>
                <c:pt idx="2">
                  <c:v>64</c:v>
                </c:pt>
                <c:pt idx="3">
                  <c:v>40</c:v>
                </c:pt>
                <c:pt idx="4">
                  <c:v>80</c:v>
                </c:pt>
                <c:pt idx="5">
                  <c:v>80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35</xdr:row>
      <xdr:rowOff>66600</xdr:rowOff>
    </xdr:from>
    <xdr:to>
      <xdr:col>3</xdr:col>
      <xdr:colOff>810360</xdr:colOff>
      <xdr:row>51</xdr:row>
      <xdr:rowOff>78120</xdr:rowOff>
    </xdr:to>
    <xdr:graphicFrame>
      <xdr:nvGraphicFramePr>
        <xdr:cNvPr id="0" name="Chart 1"/>
        <xdr:cNvGraphicFramePr/>
      </xdr:nvGraphicFramePr>
      <xdr:xfrm>
        <a:off x="211320" y="704844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E3B"/>
    <pageSetUpPr fitToPage="false"/>
  </sheetPr>
  <dimension ref="B2:F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"/>
    <col collapsed="false" customWidth="true" hidden="false" outlineLevel="0" max="6" min="6" style="0" width="46"/>
  </cols>
  <sheetData>
    <row r="2" customFormat="false" ht="15" hidden="false" customHeight="fals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1"/>
      <c r="C3" s="1"/>
      <c r="D3" s="1"/>
    </row>
    <row r="4" customFormat="false" ht="15" hidden="false" customHeight="false" outlineLevel="0" collapsed="false">
      <c r="B4" s="1"/>
      <c r="C4" s="1"/>
      <c r="D4" s="1"/>
    </row>
    <row r="5" customFormat="false" ht="15" hidden="false" customHeight="false" outlineLevel="0" collapsed="false">
      <c r="B5" s="2" t="s">
        <v>1</v>
      </c>
    </row>
    <row r="6" customFormat="false" ht="17.35" hidden="false" customHeight="false" outlineLevel="0" collapsed="false">
      <c r="B6" s="3" t="s">
        <v>2</v>
      </c>
      <c r="C6" s="3"/>
      <c r="D6" s="3"/>
      <c r="F6" s="4" t="s">
        <v>3</v>
      </c>
    </row>
    <row r="7" customFormat="false" ht="15" hidden="false" customHeight="false" outlineLevel="0" collapsed="false">
      <c r="B7" s="5" t="s">
        <v>4</v>
      </c>
      <c r="C7" s="6" t="n">
        <v>4500</v>
      </c>
      <c r="D7" s="6"/>
      <c r="F7" s="7" t="s">
        <v>5</v>
      </c>
    </row>
    <row r="8" customFormat="false" ht="15" hidden="false" customHeight="false" outlineLevel="0" collapsed="false">
      <c r="B8" s="5" t="s">
        <v>6</v>
      </c>
      <c r="C8" s="8" t="n">
        <v>0.007</v>
      </c>
      <c r="D8" s="8"/>
      <c r="F8" s="9" t="s">
        <v>7</v>
      </c>
    </row>
    <row r="9" customFormat="false" ht="15" hidden="false" customHeight="false" outlineLevel="0" collapsed="false">
      <c r="B9" s="5" t="s">
        <v>8</v>
      </c>
      <c r="C9" s="10" t="n">
        <f aca="false">salario*perc_sugestao</f>
        <v>1350</v>
      </c>
      <c r="D9" s="11" t="n">
        <v>0.3</v>
      </c>
      <c r="F9" s="12" t="s">
        <v>9</v>
      </c>
    </row>
    <row r="10" customFormat="false" ht="15" hidden="false" customHeight="false" outlineLevel="0" collapsed="false">
      <c r="F10" s="12" t="s">
        <v>10</v>
      </c>
    </row>
    <row r="11" customFormat="false" ht="17.35" hidden="false" customHeight="false" outlineLevel="0" collapsed="false">
      <c r="B11" s="13" t="s">
        <v>11</v>
      </c>
      <c r="C11" s="13"/>
      <c r="D11" s="13"/>
      <c r="F11" s="12" t="s">
        <v>12</v>
      </c>
    </row>
    <row r="12" customFormat="false" ht="23.85" hidden="false" customHeight="false" outlineLevel="0" collapsed="false">
      <c r="B12" s="14" t="s">
        <v>13</v>
      </c>
      <c r="C12" s="6" t="n">
        <v>800</v>
      </c>
      <c r="D12" s="6"/>
      <c r="F12" s="12" t="s">
        <v>14</v>
      </c>
    </row>
    <row r="13" customFormat="false" ht="23.85" hidden="false" customHeight="false" outlineLevel="0" collapsed="false">
      <c r="B13" s="14" t="s">
        <v>15</v>
      </c>
      <c r="C13" s="15" t="n">
        <v>10</v>
      </c>
      <c r="D13" s="15"/>
      <c r="F13" s="12" t="s">
        <v>16</v>
      </c>
    </row>
    <row r="14" customFormat="false" ht="15" hidden="false" customHeight="false" outlineLevel="0" collapsed="false">
      <c r="B14" s="14" t="s">
        <v>17</v>
      </c>
      <c r="C14" s="8" t="n">
        <v>0.0095</v>
      </c>
      <c r="D14" s="8"/>
      <c r="F14" s="12" t="s">
        <v>18</v>
      </c>
    </row>
    <row r="15" customFormat="false" ht="15" hidden="false" customHeight="false" outlineLevel="0" collapsed="false">
      <c r="B15" s="14" t="s">
        <v>19</v>
      </c>
      <c r="C15" s="16" t="n">
        <f aca="false">FV(taxa_mensal,anos*12,-aporte)</f>
        <v>177683.248405252</v>
      </c>
      <c r="D15" s="16"/>
    </row>
    <row r="16" customFormat="false" ht="15" hidden="false" customHeight="false" outlineLevel="0" collapsed="false">
      <c r="B16" s="14" t="s">
        <v>20</v>
      </c>
      <c r="C16" s="16" t="n">
        <f aca="false">patrimonio*rendimento_carteira</f>
        <v>1243.78273883677</v>
      </c>
      <c r="D16" s="16"/>
    </row>
    <row r="18" customFormat="false" ht="17.35" hidden="false" customHeight="false" outlineLevel="0" collapsed="false">
      <c r="B18" s="17" t="s">
        <v>21</v>
      </c>
      <c r="C18" s="18" t="s">
        <v>22</v>
      </c>
      <c r="D18" s="18" t="s">
        <v>23</v>
      </c>
    </row>
    <row r="19" customFormat="false" ht="15" hidden="false" customHeight="false" outlineLevel="0" collapsed="false">
      <c r="B19" s="19" t="n">
        <v>2</v>
      </c>
      <c r="C19" s="10" t="n">
        <f aca="false">FV(taxa_mensal,$B19*12,-aporte)</f>
        <v>21451.3066711287</v>
      </c>
      <c r="D19" s="10" t="n">
        <f aca="false">C19*rendimento_carteira</f>
        <v>150.159146697901</v>
      </c>
    </row>
    <row r="20" customFormat="false" ht="15" hidden="false" customHeight="false" outlineLevel="0" collapsed="false">
      <c r="B20" s="19" t="n">
        <v>5</v>
      </c>
      <c r="C20" s="10" t="n">
        <f aca="false">FV(taxa_mensal,$B20*12,-aporte)</f>
        <v>64296.0816452293</v>
      </c>
      <c r="D20" s="10" t="n">
        <f aca="false">C20*rendimento_carteira</f>
        <v>450.072571516605</v>
      </c>
    </row>
    <row r="21" customFormat="false" ht="15" hidden="false" customHeight="false" outlineLevel="0" collapsed="false">
      <c r="B21" s="19" t="n">
        <v>10</v>
      </c>
      <c r="C21" s="10" t="n">
        <f aca="false">FV(taxa_mensal,$B21*12,-aporte)</f>
        <v>177683.248405252</v>
      </c>
      <c r="D21" s="10" t="n">
        <f aca="false">C21*rendimento_carteira</f>
        <v>1243.78273883677</v>
      </c>
    </row>
    <row r="22" customFormat="false" ht="15" hidden="false" customHeight="false" outlineLevel="0" collapsed="false">
      <c r="B22" s="19" t="n">
        <v>20</v>
      </c>
      <c r="C22" s="10" t="n">
        <f aca="false">FV(taxa_mensal,$B22*12,-aporte)</f>
        <v>730276.120881136</v>
      </c>
      <c r="D22" s="10" t="n">
        <f aca="false">C22*rendimento_carteira</f>
        <v>5111.93284616795</v>
      </c>
    </row>
    <row r="23" customFormat="false" ht="15" hidden="false" customHeight="false" outlineLevel="0" collapsed="false">
      <c r="B23" s="19" t="n">
        <v>30</v>
      </c>
      <c r="C23" s="10" t="n">
        <f aca="false">FV(taxa_mensal,$B23*12,-aporte)</f>
        <v>2448833.64080388</v>
      </c>
      <c r="D23" s="10" t="n">
        <f aca="false">C23*rendimento_carteira</f>
        <v>17141.8354856272</v>
      </c>
    </row>
    <row r="25" customFormat="false" ht="15" hidden="false" customHeight="false" outlineLevel="0" collapsed="false">
      <c r="B25" s="20" t="s">
        <v>24</v>
      </c>
      <c r="C25" s="21" t="s">
        <v>25</v>
      </c>
      <c r="D25" s="21"/>
    </row>
    <row r="26" customFormat="false" ht="15" hidden="false" customHeight="false" outlineLevel="0" collapsed="false">
      <c r="B26" s="14" t="s">
        <v>26</v>
      </c>
      <c r="C26" s="16" t="n">
        <f aca="false">aporte</f>
        <v>800</v>
      </c>
      <c r="D26" s="16"/>
    </row>
    <row r="28" customFormat="false" ht="15" hidden="false" customHeight="false" outlineLevel="0" collapsed="false">
      <c r="B28" s="22" t="s">
        <v>27</v>
      </c>
      <c r="C28" s="18" t="s">
        <v>28</v>
      </c>
      <c r="D28" s="18" t="s">
        <v>29</v>
      </c>
    </row>
    <row r="29" customFormat="false" ht="15" hidden="false" customHeight="false" outlineLevel="0" collapsed="false">
      <c r="B29" s="23" t="s">
        <v>30</v>
      </c>
      <c r="C29" s="24" t="n">
        <f aca="false">VLOOKUP(perfil&amp;"|"&amp;$B29,tab_perfil,2,FALSE())</f>
        <v>0.32</v>
      </c>
      <c r="D29" s="10" t="n">
        <f aca="false">C29*aporte</f>
        <v>256</v>
      </c>
    </row>
    <row r="30" customFormat="false" ht="15" hidden="false" customHeight="false" outlineLevel="0" collapsed="false">
      <c r="B30" s="23" t="s">
        <v>31</v>
      </c>
      <c r="C30" s="24" t="n">
        <f aca="false">VLOOKUP(perfil&amp;"|"&amp;$B30,tab_perfil,2,FALSE())</f>
        <v>0.35</v>
      </c>
      <c r="D30" s="10" t="n">
        <f aca="false">C30*aporte</f>
        <v>280</v>
      </c>
    </row>
    <row r="31" customFormat="false" ht="15" hidden="false" customHeight="false" outlineLevel="0" collapsed="false">
      <c r="B31" s="23" t="s">
        <v>32</v>
      </c>
      <c r="C31" s="24" t="n">
        <f aca="false">VLOOKUP(perfil&amp;"|"&amp;$B31,tab_perfil,2,FALSE())</f>
        <v>0.08</v>
      </c>
      <c r="D31" s="10" t="n">
        <f aca="false">C31*aporte</f>
        <v>64</v>
      </c>
    </row>
    <row r="32" customFormat="false" ht="15" hidden="false" customHeight="false" outlineLevel="0" collapsed="false">
      <c r="B32" s="23" t="s">
        <v>33</v>
      </c>
      <c r="C32" s="24" t="n">
        <f aca="false">VLOOKUP(perfil&amp;"|"&amp;$B32,tab_perfil,2,FALSE())</f>
        <v>0.05</v>
      </c>
      <c r="D32" s="10" t="n">
        <f aca="false">C32*aporte</f>
        <v>40</v>
      </c>
    </row>
    <row r="33" customFormat="false" ht="15" hidden="false" customHeight="false" outlineLevel="0" collapsed="false">
      <c r="B33" s="23" t="s">
        <v>34</v>
      </c>
      <c r="C33" s="24" t="n">
        <f aca="false">VLOOKUP(perfil&amp;"|"&amp;$B33,tab_perfil,2,FALSE())</f>
        <v>0.1</v>
      </c>
      <c r="D33" s="10" t="n">
        <f aca="false">C33*aporte</f>
        <v>80</v>
      </c>
    </row>
    <row r="34" customFormat="false" ht="15" hidden="false" customHeight="false" outlineLevel="0" collapsed="false">
      <c r="B34" s="23" t="s">
        <v>35</v>
      </c>
      <c r="C34" s="24" t="n">
        <f aca="false">VLOOKUP(perfil&amp;"|"&amp;$B34,tab_perfil,2,FALSE())</f>
        <v>0.1</v>
      </c>
      <c r="D34" s="10" t="n">
        <f aca="false">C34*aporte</f>
        <v>80</v>
      </c>
    </row>
    <row r="35" customFormat="false" ht="15" hidden="false" customHeight="false" outlineLevel="0" collapsed="false">
      <c r="B35" s="25" t="s">
        <v>36</v>
      </c>
      <c r="C35" s="26" t="n">
        <f aca="false">SUM(C29:C34)</f>
        <v>1</v>
      </c>
      <c r="D35" s="16" t="n">
        <f aca="false">SUM(D29:D34)</f>
        <v>800</v>
      </c>
    </row>
    <row r="36" customFormat="false" ht="15" hidden="false" customHeight="false" outlineLevel="0" collapsed="false">
      <c r="B36" s="2" t="str">
        <f aca="false">IF(ROUND(C35,6)=1,"✔ Perfil soma 100%","⚠ O perfil não soma 100% – revise a aba Apoio")</f>
        <v>✔ Perfil soma 100%</v>
      </c>
    </row>
  </sheetData>
  <mergeCells count="12">
    <mergeCell ref="B2:D4"/>
    <mergeCell ref="B6:D6"/>
    <mergeCell ref="C7:D7"/>
    <mergeCell ref="C8:D8"/>
    <mergeCell ref="B11:D11"/>
    <mergeCell ref="C12:D12"/>
    <mergeCell ref="C13:D13"/>
    <mergeCell ref="C14:D14"/>
    <mergeCell ref="C15:D15"/>
    <mergeCell ref="C16:D16"/>
    <mergeCell ref="C25:D25"/>
    <mergeCell ref="C26:D26"/>
  </mergeCells>
  <dataValidations count="1">
    <dataValidation allowBlank="false" error="Escolha um perfil da lista." errorStyle="stop" errorTitle="Perfil inválido" operator="between" showDropDown="false" showErrorMessage="true" showInputMessage="false" sqref="C25" type="list">
      <formula1>Apoio!$F$4:$F$6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6.15" hidden="false" customHeight="false" outlineLevel="0" collapsed="false">
      <c r="A1" s="27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28" t="s">
        <v>39</v>
      </c>
      <c r="B3" s="28" t="s">
        <v>40</v>
      </c>
      <c r="C3" s="28" t="s">
        <v>41</v>
      </c>
      <c r="D3" s="28" t="s">
        <v>42</v>
      </c>
      <c r="F3" s="28" t="s">
        <v>41</v>
      </c>
      <c r="G3" s="28" t="s">
        <v>43</v>
      </c>
      <c r="H3" s="28" t="s">
        <v>44</v>
      </c>
    </row>
    <row r="4" customFormat="false" ht="15" hidden="false" customHeight="false" outlineLevel="0" collapsed="false">
      <c r="A4" s="29" t="str">
        <f aca="false">C4&amp;"|"&amp;D4</f>
        <v>Conservador|PAPEL</v>
      </c>
      <c r="B4" s="30" t="n">
        <v>0.4</v>
      </c>
      <c r="C4" s="31" t="s">
        <v>45</v>
      </c>
      <c r="D4" s="31" t="s">
        <v>30</v>
      </c>
      <c r="F4" s="31" t="s">
        <v>45</v>
      </c>
      <c r="G4" s="32" t="n">
        <f aca="false">SUMIF($C$4:$C$21,F4,$B$4:$B$21)</f>
        <v>1</v>
      </c>
      <c r="H4" s="5" t="str">
        <f aca="false">IF(ROUND(G4,6)=1,"OK","ERRO")</f>
        <v>OK</v>
      </c>
    </row>
    <row r="5" customFormat="false" ht="15" hidden="false" customHeight="false" outlineLevel="0" collapsed="false">
      <c r="A5" s="29" t="str">
        <f aca="false">C5&amp;"|"&amp;D5</f>
        <v>Conservador|TIJOLO</v>
      </c>
      <c r="B5" s="30" t="n">
        <v>0.35</v>
      </c>
      <c r="C5" s="31" t="s">
        <v>45</v>
      </c>
      <c r="D5" s="31" t="s">
        <v>31</v>
      </c>
      <c r="F5" s="31" t="s">
        <v>25</v>
      </c>
      <c r="G5" s="32" t="n">
        <f aca="false">SUMIF($C$4:$C$21,F5,$B$4:$B$21)</f>
        <v>1</v>
      </c>
      <c r="H5" s="5" t="str">
        <f aca="false">IF(ROUND(G5,6)=1,"OK","ERRO")</f>
        <v>OK</v>
      </c>
    </row>
    <row r="6" customFormat="false" ht="15" hidden="false" customHeight="false" outlineLevel="0" collapsed="false">
      <c r="A6" s="29" t="str">
        <f aca="false">C6&amp;"|"&amp;D6</f>
        <v>Conservador|HÍBRIDOS</v>
      </c>
      <c r="B6" s="30" t="n">
        <v>0.1</v>
      </c>
      <c r="C6" s="31" t="s">
        <v>45</v>
      </c>
      <c r="D6" s="31" t="s">
        <v>32</v>
      </c>
      <c r="F6" s="31" t="s">
        <v>46</v>
      </c>
      <c r="G6" s="32" t="n">
        <f aca="false">SUMIF($C$4:$C$21,F6,$B$4:$B$21)</f>
        <v>1</v>
      </c>
      <c r="H6" s="5" t="str">
        <f aca="false">IF(ROUND(G6,6)=1,"OK","ERRO")</f>
        <v>OK</v>
      </c>
    </row>
    <row r="7" customFormat="false" ht="15" hidden="false" customHeight="false" outlineLevel="0" collapsed="false">
      <c r="A7" s="29" t="str">
        <f aca="false">C7&amp;"|"&amp;D7</f>
        <v>Conservador|FOFs</v>
      </c>
      <c r="B7" s="30" t="n">
        <v>0.1</v>
      </c>
      <c r="C7" s="31" t="s">
        <v>45</v>
      </c>
      <c r="D7" s="31" t="s">
        <v>33</v>
      </c>
    </row>
    <row r="8" customFormat="false" ht="15" hidden="false" customHeight="false" outlineLevel="0" collapsed="false">
      <c r="A8" s="29" t="str">
        <f aca="false">C8&amp;"|"&amp;D8</f>
        <v>Conservador|DESENVOLVIMENTO</v>
      </c>
      <c r="B8" s="30" t="n">
        <v>0.05</v>
      </c>
      <c r="C8" s="31" t="s">
        <v>45</v>
      </c>
      <c r="D8" s="31" t="s">
        <v>34</v>
      </c>
      <c r="F8" s="2" t="s">
        <v>47</v>
      </c>
    </row>
    <row r="9" customFormat="false" ht="15" hidden="false" customHeight="false" outlineLevel="0" collapsed="false">
      <c r="A9" s="29" t="str">
        <f aca="false">C9&amp;"|"&amp;D9</f>
        <v>Conservador|HOTELARIAS</v>
      </c>
      <c r="B9" s="30" t="n">
        <v>0</v>
      </c>
      <c r="C9" s="31" t="s">
        <v>45</v>
      </c>
      <c r="D9" s="31" t="s">
        <v>35</v>
      </c>
    </row>
    <row r="10" customFormat="false" ht="15" hidden="false" customHeight="false" outlineLevel="0" collapsed="false">
      <c r="A10" s="29" t="str">
        <f aca="false">C10&amp;"|"&amp;D10</f>
        <v>Moderado|PAPEL</v>
      </c>
      <c r="B10" s="30" t="n">
        <v>0.32</v>
      </c>
      <c r="C10" s="31" t="s">
        <v>25</v>
      </c>
      <c r="D10" s="31" t="s">
        <v>30</v>
      </c>
    </row>
    <row r="11" customFormat="false" ht="15" hidden="false" customHeight="false" outlineLevel="0" collapsed="false">
      <c r="A11" s="29" t="str">
        <f aca="false">C11&amp;"|"&amp;D11</f>
        <v>Moderado|TIJOLO</v>
      </c>
      <c r="B11" s="30" t="n">
        <v>0.35</v>
      </c>
      <c r="C11" s="31" t="s">
        <v>25</v>
      </c>
      <c r="D11" s="31" t="s">
        <v>31</v>
      </c>
    </row>
    <row r="12" customFormat="false" ht="15" hidden="false" customHeight="false" outlineLevel="0" collapsed="false">
      <c r="A12" s="29" t="str">
        <f aca="false">C12&amp;"|"&amp;D12</f>
        <v>Moderado|HÍBRIDOS</v>
      </c>
      <c r="B12" s="30" t="n">
        <v>0.08</v>
      </c>
      <c r="C12" s="31" t="s">
        <v>25</v>
      </c>
      <c r="D12" s="31" t="s">
        <v>32</v>
      </c>
    </row>
    <row r="13" customFormat="false" ht="15" hidden="false" customHeight="false" outlineLevel="0" collapsed="false">
      <c r="A13" s="29" t="str">
        <f aca="false">C13&amp;"|"&amp;D13</f>
        <v>Moderado|FOFs</v>
      </c>
      <c r="B13" s="30" t="n">
        <v>0.05</v>
      </c>
      <c r="C13" s="31" t="s">
        <v>25</v>
      </c>
      <c r="D13" s="31" t="s">
        <v>33</v>
      </c>
    </row>
    <row r="14" customFormat="false" ht="15" hidden="false" customHeight="false" outlineLevel="0" collapsed="false">
      <c r="A14" s="29" t="str">
        <f aca="false">C14&amp;"|"&amp;D14</f>
        <v>Moderado|DESENVOLVIMENTO</v>
      </c>
      <c r="B14" s="30" t="n">
        <v>0.1</v>
      </c>
      <c r="C14" s="31" t="s">
        <v>25</v>
      </c>
      <c r="D14" s="31" t="s">
        <v>34</v>
      </c>
    </row>
    <row r="15" customFormat="false" ht="15" hidden="false" customHeight="false" outlineLevel="0" collapsed="false">
      <c r="A15" s="29" t="str">
        <f aca="false">C15&amp;"|"&amp;D15</f>
        <v>Moderado|HOTELARIAS</v>
      </c>
      <c r="B15" s="30" t="n">
        <v>0.1</v>
      </c>
      <c r="C15" s="31" t="s">
        <v>25</v>
      </c>
      <c r="D15" s="31" t="s">
        <v>35</v>
      </c>
    </row>
    <row r="16" customFormat="false" ht="15" hidden="false" customHeight="false" outlineLevel="0" collapsed="false">
      <c r="A16" s="29" t="str">
        <f aca="false">C16&amp;"|"&amp;D16</f>
        <v>Arrojado|PAPEL</v>
      </c>
      <c r="B16" s="30" t="n">
        <v>0.2</v>
      </c>
      <c r="C16" s="31" t="s">
        <v>46</v>
      </c>
      <c r="D16" s="31" t="s">
        <v>30</v>
      </c>
    </row>
    <row r="17" customFormat="false" ht="15" hidden="false" customHeight="false" outlineLevel="0" collapsed="false">
      <c r="A17" s="29" t="str">
        <f aca="false">C17&amp;"|"&amp;D17</f>
        <v>Arrojado|TIJOLO</v>
      </c>
      <c r="B17" s="30" t="n">
        <v>0.25</v>
      </c>
      <c r="C17" s="31" t="s">
        <v>46</v>
      </c>
      <c r="D17" s="31" t="s">
        <v>31</v>
      </c>
    </row>
    <row r="18" customFormat="false" ht="15" hidden="false" customHeight="false" outlineLevel="0" collapsed="false">
      <c r="A18" s="29" t="str">
        <f aca="false">C18&amp;"|"&amp;D18</f>
        <v>Arrojado|HÍBRIDOS</v>
      </c>
      <c r="B18" s="30" t="n">
        <v>0.05</v>
      </c>
      <c r="C18" s="31" t="s">
        <v>46</v>
      </c>
      <c r="D18" s="31" t="s">
        <v>32</v>
      </c>
    </row>
    <row r="19" customFormat="false" ht="15" hidden="false" customHeight="false" outlineLevel="0" collapsed="false">
      <c r="A19" s="29" t="str">
        <f aca="false">C19&amp;"|"&amp;D19</f>
        <v>Arrojado|FOFs</v>
      </c>
      <c r="B19" s="30" t="n">
        <v>0.05</v>
      </c>
      <c r="C19" s="31" t="s">
        <v>46</v>
      </c>
      <c r="D19" s="31" t="s">
        <v>33</v>
      </c>
    </row>
    <row r="20" customFormat="false" ht="15" hidden="false" customHeight="false" outlineLevel="0" collapsed="false">
      <c r="A20" s="29" t="str">
        <f aca="false">C20&amp;"|"&amp;D20</f>
        <v>Arrojado|DESENVOLVIMENTO</v>
      </c>
      <c r="B20" s="30" t="n">
        <v>0.25</v>
      </c>
      <c r="C20" s="31" t="s">
        <v>46</v>
      </c>
      <c r="D20" s="31" t="s">
        <v>34</v>
      </c>
    </row>
    <row r="21" customFormat="false" ht="15" hidden="false" customHeight="false" outlineLevel="0" collapsed="false">
      <c r="A21" s="29" t="str">
        <f aca="false">C21&amp;"|"&amp;D21</f>
        <v>Arrojado|HOTELARIAS</v>
      </c>
      <c r="B21" s="30" t="n">
        <v>0.2</v>
      </c>
      <c r="C21" s="31" t="s">
        <v>46</v>
      </c>
      <c r="D21" s="3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2026-10-02T21:19:52Z</dcterms:created>
  <dc:creator>openpyxl</dc:creator>
  <dc:description/>
  <dc:language>en-US</dc:language>
  <cp:lastModifiedBy/>
  <dcterms:modified xsi:type="dcterms:W3CDTF">2026-10-02T21:19:53Z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